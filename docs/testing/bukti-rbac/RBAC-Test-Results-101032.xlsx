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3ut\"/>
    </mc:Choice>
  </mc:AlternateContent>
  <xr:revisionPtr revIDLastSave="0" documentId="13_ncr:1_{F3E69A0F-F5A4-4D8E-BE10-D92F5275F87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BAC Results" sheetId="1" r:id="rId1"/>
    <sheet name="Ringkasan" sheetId="2" r:id="rId2"/>
  </sheets>
  <definedNames>
    <definedName name="_xlnm._FilterDatabase" localSheetId="0" hidden="1">'RBAC Results'!$A$6:$Q$47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2" l="1"/>
  <c r="B10" i="2"/>
  <c r="B9" i="2"/>
  <c r="B8" i="2"/>
  <c r="B12" i="2" l="1"/>
</calcChain>
</file>

<file path=xl/sharedStrings.xml><?xml version="1.0" encoding="utf-8"?>
<sst xmlns="http://schemas.openxmlformats.org/spreadsheetml/2006/main" count="654" uniqueCount="346">
  <si>
    <t>RBAC Test Results</t>
  </si>
  <si>
    <t>Dataset Version</t>
  </si>
  <si>
    <t>2026-08-21.1</t>
  </si>
  <si>
    <t>Baseline Date</t>
  </si>
  <si>
    <t>2026-08-21</t>
  </si>
  <si>
    <t>Generated At</t>
  </si>
  <si>
    <t>2026-08-21T10:10:32+00:00</t>
  </si>
  <si>
    <t>Scenario ID</t>
  </si>
  <si>
    <t>Requirement ID</t>
  </si>
  <si>
    <t>Actor</t>
  </si>
  <si>
    <t>Capability</t>
  </si>
  <si>
    <t>Resource Key</t>
  </si>
  <si>
    <t>Resource Label</t>
  </si>
  <si>
    <t>Preconditions</t>
  </si>
  <si>
    <t>Channel</t>
  </si>
  <si>
    <t>Request/Route</t>
  </si>
  <si>
    <t>Expected Access</t>
  </si>
  <si>
    <t>Expected Result</t>
  </si>
  <si>
    <t>Must Appear</t>
  </si>
  <si>
    <t>Must Not Appear</t>
  </si>
  <si>
    <t>Actual Access</t>
  </si>
  <si>
    <t>Pass/Fail</t>
  </si>
  <si>
    <t>Evidence</t>
  </si>
  <si>
    <t>Notes</t>
  </si>
  <si>
    <t>RBAC-001</t>
  </si>
  <si>
    <t>AUTH-01</t>
  </si>
  <si>
    <t>guest</t>
  </si>
  <si>
    <t>Akses fungsi operasional</t>
  </si>
  <si>
    <t>dashboard</t>
  </si>
  <si>
    <t>Dashboard operasional</t>
  </si>
  <si>
    <t>Memerlukan sesi akun aktif.</t>
  </si>
  <si>
    <t>URL langsung</t>
  </si>
  <si>
    <t>GET /dashboard</t>
  </si>
  <si>
    <t>Deny</t>
  </si>
  <si>
    <t>Redirect ke login</t>
  </si>
  <si>
    <t>Form login</t>
  </si>
  <si>
    <t>RBAC-002</t>
  </si>
  <si>
    <t>guru_a</t>
  </si>
  <si>
    <t>UI</t>
  </si>
  <si>
    <t>Allow</t>
  </si>
  <si>
    <t>HTTP 200</t>
  </si>
  <si>
    <t>Dashboard</t>
  </si>
  <si>
    <t>RBAC-003</t>
  </si>
  <si>
    <t>credential_salah</t>
  </si>
  <si>
    <t>Autentikasi</t>
  </si>
  <si>
    <t>form_login</t>
  </si>
  <si>
    <t>Tidak memerlukan sesi.</t>
  </si>
  <si>
    <t>POST /login</t>
  </si>
  <si>
    <t>Kembali ke login dengan pesan kredensial salah</t>
  </si>
  <si>
    <t>Email atau kata sandi tidak sesuai</t>
  </si>
  <si>
    <t>RBAC-004</t>
  </si>
  <si>
    <t>guru_inactive</t>
  </si>
  <si>
    <t>Autentikasi tanpa pengungkapan status akun</t>
  </si>
  <si>
    <t>Pesan generik tanpa mengungkap status akun</t>
  </si>
  <si>
    <t>Akun nonaktif</t>
  </si>
  <si>
    <t>RBAC-005</t>
  </si>
  <si>
    <t>guru_a_dinonaktifkan_saat_sesi_aktif</t>
  </si>
  <si>
    <t>Pencabutan sesi akun yang dinonaktifkan</t>
  </si>
  <si>
    <t>UI dan URL langsung</t>
  </si>
  <si>
    <t>Sesi aktif diakhiri dan redirect ke login</t>
  </si>
  <si>
    <t>Akun tidak aktif. Hubungi Admin IT sekolah.</t>
  </si>
  <si>
    <t>RBAC-006</t>
  </si>
  <si>
    <t>AUTH-02</t>
  </si>
  <si>
    <t>Daftar murid terscope</t>
  </si>
  <si>
    <t>students</t>
  </si>
  <si>
    <t>Daftar murid Guru A</t>
  </si>
  <si>
    <t>Alpha terscope lewat XII-A; Beta lewat K-RBAC-003; Gamma dan Delta di luar scope saat baseline.</t>
  </si>
  <si>
    <t>GET /students</t>
  </si>
  <si>
    <t>Allow terbatas</t>
  </si>
  <si>
    <t>Hanya Alpha dan Beta yang tampil</t>
  </si>
  <si>
    <t>RBAC Murid Alpha | RBAC Murid Beta</t>
  </si>
  <si>
    <t>RBAC Murid Gamma | RBAC Murid Delta</t>
  </si>
  <si>
    <t>RBAC-007</t>
  </si>
  <si>
    <t>Lihat profil murid</t>
  </si>
  <si>
    <t>student_a</t>
  </si>
  <si>
    <t>RBAC Murid Alpha / RBAC-STUDENT-A</t>
  </si>
  <si>
    <t>Berada di RBAC XII-A yang aktif ditugaskan kepada Guru A.</t>
  </si>
  <si>
    <t>GET /students/65</t>
  </si>
  <si>
    <t>RBAC Murid Alpha</t>
  </si>
  <si>
    <t>RBAC-008</t>
  </si>
  <si>
    <t>Lihat profil murid di kelas penugasan masa depan</t>
  </si>
  <si>
    <t>student_class_b_future_assignment</t>
  </si>
  <si>
    <t>RBAC Murid Delta / RBAC-STUDENT-FUTURE</t>
  </si>
  <si>
    <t>Berada di RBAC XII-B; penugasan Guru A baru berlaku 2026-11-19.</t>
  </si>
  <si>
    <t>GET /students/68</t>
  </si>
  <si>
    <t>Deny 403</t>
  </si>
  <si>
    <t>HTTP 403 karena penugasan Guru A belum berlaku</t>
  </si>
  <si>
    <t>RBAC-009</t>
  </si>
  <si>
    <t>Lihat kasus milik sendiri</t>
  </si>
  <si>
    <t>case_a</t>
  </si>
  <si>
    <t>K-RBAC-001 — kasus Alpha milik Guru A</t>
  </si>
  <si>
    <t>Guru A memiliki penugasan kasus aktif dan scope kelas aktif.</t>
  </si>
  <si>
    <t>GET /cases/81</t>
  </si>
  <si>
    <t>K-RBAC-001</t>
  </si>
  <si>
    <t>RBAC-010</t>
  </si>
  <si>
    <t>Lihat kasus Guru B tanpa penugasan kasus</t>
  </si>
  <si>
    <t>case_b</t>
  </si>
  <si>
    <t>K-RBAC-002 — kasus Beta milik Guru B</t>
  </si>
  <si>
    <t>Tidak ditugaskan kepada Guru A; hanya dikoordinasikan kepada Waka A.</t>
  </si>
  <si>
    <t>GET /cases/82</t>
  </si>
  <si>
    <t>HTTP 403; akses Beta melalui K-RBAC-003 tidak membuka K-RBAC-002</t>
  </si>
  <si>
    <t>RBAC-011</t>
  </si>
  <si>
    <t>Lihat kasus penugasan khusus</t>
  </si>
  <si>
    <t>case_special</t>
  </si>
  <si>
    <t>K-RBAC-003 — kasus Beta dengan penugasan tambahan Guru A</t>
  </si>
  <si>
    <t>Guru A memiliki penugasan kasus tambahan aktif khusus pada kasus ini.</t>
  </si>
  <si>
    <t>GET /cases/83</t>
  </si>
  <si>
    <t>K-RBAC-003</t>
  </si>
  <si>
    <t>RBAC-012</t>
  </si>
  <si>
    <t>Lihat kasus pada kelas dengan penugasan Guru A yang belum berlaku</t>
  </si>
  <si>
    <t>case_class_b_future_assignment</t>
  </si>
  <si>
    <t>K-RBAC-005 — kasus Delta pada kelas penugasan masa depan</t>
  </si>
  <si>
    <t>Guru B masih aktif sampai 2026-11-18; Guru A baru mulai 2026-11-19.</t>
  </si>
  <si>
    <t>GET /cases/85</t>
  </si>
  <si>
    <t>HTTP 403 karena periode penugasan Guru A belum dimulai</t>
  </si>
  <si>
    <t>RBAC-013</t>
  </si>
  <si>
    <t>Pratinjau laporan terscope</t>
  </si>
  <si>
    <t>report_service_recap</t>
  </si>
  <si>
    <t>Laporan rekap layanan BK Guru A</t>
  </si>
  <si>
    <t>Dataset mengikuti scope profesional Guru A pada 2026-08-21.</t>
  </si>
  <si>
    <t>GET /reports/preview?type=rekap-layanan-bk</t>
  </si>
  <si>
    <t>HTTP 200 dan hanya data terscope</t>
  </si>
  <si>
    <t>K-RBAC-001 | K-RBAC-003 | K-RBAC-004 | KNS-RBAC-001 | KNS-RBAC-002</t>
  </si>
  <si>
    <t>K-RBAC-002 | K-RBAC-005 | KNS-RBAC-003 | RBAC-PRIVATE | RBAC-INTERNAL</t>
  </si>
  <si>
    <t>RBAC-014</t>
  </si>
  <si>
    <t>AUTH-03</t>
  </si>
  <si>
    <t>Nested resource binding</t>
  </si>
  <si>
    <t>follow_up_b_under_case_a</t>
  </si>
  <si>
    <t>Tindak lanjut K-RBAC-002 dipasang di URL K-RBAC-001</t>
  </si>
  <si>
    <t>Tindak lanjut adalah milik K-RBAC-002, bukan K-RBAC-001.</t>
  </si>
  <si>
    <t>GET /cases/81/follow-ups/34/edit</t>
  </si>
  <si>
    <t>Deny 404</t>
  </si>
  <si>
    <t>HTTP 404 tanpa isi tindak lanjut</t>
  </si>
  <si>
    <t>RBAC-015</t>
  </si>
  <si>
    <t>Buka notifikasi milik sendiri</t>
  </si>
  <si>
    <t>notification_a</t>
  </si>
  <si>
    <t>RBAC Notifikasi Guru A</t>
  </si>
  <si>
    <t>Notifikasi dimiliki Guru A dan menargetkan K-RBAC-003.</t>
  </si>
  <si>
    <t>GET /notifications/33</t>
  </si>
  <si>
    <t>Allow + redirect</t>
  </si>
  <si>
    <t>Redirect ke K-RBAC-003</t>
  </si>
  <si>
    <t>RBAC-016</t>
  </si>
  <si>
    <t>Buka notifikasi pengguna lain</t>
  </si>
  <si>
    <t>notification_b</t>
  </si>
  <si>
    <t>RBAC Notifikasi Guru B</t>
  </si>
  <si>
    <t>Notifikasi dimiliki Guru B, bukan Guru A.</t>
  </si>
  <si>
    <t>GET /notifications/34</t>
  </si>
  <si>
    <t>HTTP 403</t>
  </si>
  <si>
    <t>RBAC-017</t>
  </si>
  <si>
    <t>waka_a</t>
  </si>
  <si>
    <t>Mutasi kasus read-only</t>
  </si>
  <si>
    <t>Automated companion</t>
  </si>
  <si>
    <t>POST /cases/82/coordinations</t>
  </si>
  <si>
    <t>HTTP 403 dan database tidak berubah</t>
  </si>
  <si>
    <t>RBAC-018</t>
  </si>
  <si>
    <t>AUTH-04</t>
  </si>
  <si>
    <t>Lihat catatan konsultasi privat</t>
  </si>
  <si>
    <t>consultation_a</t>
  </si>
  <si>
    <t>KNS-RBAC-001 — konsultasi Alpha oleh Guru A</t>
  </si>
  <si>
    <t>Catatan privat memakai marker RBAC-PRIVATE-A.</t>
  </si>
  <si>
    <t>GET /consultations/49</t>
  </si>
  <si>
    <t>Allow penuh</t>
  </si>
  <si>
    <t>HTTP 200 dan marker privat tampil</t>
  </si>
  <si>
    <t>KNS-RBAC-001 | RBAC-PRIVATE-A</t>
  </si>
  <si>
    <t>RBAC-019</t>
  </si>
  <si>
    <t>koordinator</t>
  </si>
  <si>
    <t>Lihat metadata konsultasi</t>
  </si>
  <si>
    <t>Allow terbatas/redacted</t>
  </si>
  <si>
    <t>HTTP 200 tanpa marker privat</t>
  </si>
  <si>
    <t>KNS-RBAC-001 | RBAC ringkasan umum Alpha</t>
  </si>
  <si>
    <t>RBAC-PRIVATE-A</t>
  </si>
  <si>
    <t>RBAC-020</t>
  </si>
  <si>
    <t>Lihat konsultasi kasus terkoordinasi</t>
  </si>
  <si>
    <t>consultation_b</t>
  </si>
  <si>
    <t>KNS-RBAC-002 — konsultasi Beta oleh Guru B</t>
  </si>
  <si>
    <t>Terhubung ke K-RBAC-002 yang dikoordinasikan kepada Waka A; konsultasi tetap tertutup untuk Waka.</t>
  </si>
  <si>
    <t>GET /consultations/50</t>
  </si>
  <si>
    <t>HTTP 403; koordinasi kasus tidak membuka konsultasi</t>
  </si>
  <si>
    <t>RBAC-021</t>
  </si>
  <si>
    <t>admin</t>
  </si>
  <si>
    <t>Lihat konsultasi</t>
  </si>
  <si>
    <t>RBAC-022</t>
  </si>
  <si>
    <t>multi_role</t>
  </si>
  <si>
    <t>Baca histori privat murid dalam scope baru</t>
  </si>
  <si>
    <t>consultation_history</t>
  </si>
  <si>
    <t>KNS-RBAC-003 — histori Gamma oleh Guru A</t>
  </si>
  <si>
    <t>Gamma kini terscope akun multi-role; pencatat konsultasi lama tetap Guru A.</t>
  </si>
  <si>
    <t>GET /consultations/51</t>
  </si>
  <si>
    <t>Allow penuh/read-only</t>
  </si>
  <si>
    <t>HTTP 200 dan marker privat histori tampil</t>
  </si>
  <si>
    <t>KNS-RBAC-003 | RBAC-PRIVATE-HISTORY</t>
  </si>
  <si>
    <t>RBAC-023</t>
  </si>
  <si>
    <t>Ubah catatan Guru BK sebelumnya</t>
  </si>
  <si>
    <t>GET /consultations/51/edit</t>
  </si>
  <si>
    <t>HTTP 403 karena bukan pencatat</t>
  </si>
  <si>
    <t>RBAC-024</t>
  </si>
  <si>
    <t>AUTH-07</t>
  </si>
  <si>
    <t>Lihat metadata di luar scope Guru BK</t>
  </si>
  <si>
    <t>HTTP 200 melalui fungsi Koordinator tanpa marker privat</t>
  </si>
  <si>
    <t>RBAC-025</t>
  </si>
  <si>
    <t>AUTH-05</t>
  </si>
  <si>
    <t>Lihat kasus terkoordinasi</t>
  </si>
  <si>
    <t>Allow terbatas/read-only</t>
  </si>
  <si>
    <t>HTTP 200 tanpa catatan internal</t>
  </si>
  <si>
    <t>K-RBAC-002</t>
  </si>
  <si>
    <t>RBAC-INTERNAL-CASE-B</t>
  </si>
  <si>
    <t>RBAC-026</t>
  </si>
  <si>
    <t>Lihat kasus tanpa koordinasi</t>
  </si>
  <si>
    <t>RBAC-027</t>
  </si>
  <si>
    <t>waka_b</t>
  </si>
  <si>
    <t>Lihat koordinasi Waka lain</t>
  </si>
  <si>
    <t>HTTP 403 karena koordinasi ditujukan kepada Waka A</t>
  </si>
  <si>
    <t>RBAC-028</t>
  </si>
  <si>
    <t>Ubah kasus terkoordinasi</t>
  </si>
  <si>
    <t>GET /cases/82/resolve</t>
  </si>
  <si>
    <t>RBAC-029</t>
  </si>
  <si>
    <t>Laporan konsultasi</t>
  </si>
  <si>
    <t>report_consultation</t>
  </si>
  <si>
    <t>Tipe laporan konsultasi tidak tersedia bagi Waka.</t>
  </si>
  <si>
    <t>GET /reports/preview?type=konsultasi</t>
  </si>
  <si>
    <t>RBAC-030</t>
  </si>
  <si>
    <t>Lihat prestasi terverifikasi murid terkoordinasi</t>
  </si>
  <si>
    <t>achievement_verified</t>
  </si>
  <si>
    <t>RBAC-Prestasi-Terverifikasi milik Beta</t>
  </si>
  <si>
    <t>Status terverifikasi dan murid mempunyai kasus yang dikoordinasikan kepada Waka A.</t>
  </si>
  <si>
    <t>GET /achievements/33</t>
  </si>
  <si>
    <t>RBAC-Prestasi-Terverifikasi</t>
  </si>
  <si>
    <t>RBAC-031</t>
  </si>
  <si>
    <t>Lihat prestasi menunggu</t>
  </si>
  <si>
    <t>achievement_pending</t>
  </si>
  <si>
    <t>RBAC-Prestasi-Menunggu milik Beta</t>
  </si>
  <si>
    <t>Status masih menunggu verifikasi.</t>
  </si>
  <si>
    <t>GET /achievements/34</t>
  </si>
  <si>
    <t>RBAC-032</t>
  </si>
  <si>
    <t>AUTH-06</t>
  </si>
  <si>
    <t>Kelola akun</t>
  </si>
  <si>
    <t>users</t>
  </si>
  <si>
    <t>Pengelolaan akun</t>
  </si>
  <si>
    <t>Hanya fungsi Admin IT.</t>
  </si>
  <si>
    <t>GET /admin/users</t>
  </si>
  <si>
    <t>HTTP 200 dan GUI pengelolaan akun</t>
  </si>
  <si>
    <t>Kelola Akun</t>
  </si>
  <si>
    <t>RBAC-033</t>
  </si>
  <si>
    <t>Kelola Data Master</t>
  </si>
  <si>
    <t>data_master</t>
  </si>
  <si>
    <t>Data Master</t>
  </si>
  <si>
    <t>Hanya fungsi teknis Admin IT.</t>
  </si>
  <si>
    <t>GET /data-master</t>
  </si>
  <si>
    <t>RBAC-034</t>
  </si>
  <si>
    <t>Lihat kasus layanan</t>
  </si>
  <si>
    <t>cases</t>
  </si>
  <si>
    <t>Daftar kasus layanan BK</t>
  </si>
  <si>
    <t>Admin IT tidak memiliki hak membaca layanan BK.</t>
  </si>
  <si>
    <t>GET /cases</t>
  </si>
  <si>
    <t>RBAC-035</t>
  </si>
  <si>
    <t>Lihat profil murid layanan</t>
  </si>
  <si>
    <t>RBAC-036</t>
  </si>
  <si>
    <t>Lihat laporan layanan</t>
  </si>
  <si>
    <t>reports</t>
  </si>
  <si>
    <t>Katalog laporan layanan BK</t>
  </si>
  <si>
    <t>Admin IT tidak memiliki hak laporan layanan.</t>
  </si>
  <si>
    <t>GET /reports</t>
  </si>
  <si>
    <t>RBAC-037</t>
  </si>
  <si>
    <t>Lihat prestasi</t>
  </si>
  <si>
    <t>RBAC-038</t>
  </si>
  <si>
    <t>Kelola penugasan kasus</t>
  </si>
  <si>
    <t>case_assignments</t>
  </si>
  <si>
    <t>Pengelolaan penugasan kasus</t>
  </si>
  <si>
    <t>Akun multi-role memiliki fungsi Koordinator.</t>
  </si>
  <si>
    <t>GET /assignments/cases</t>
  </si>
  <si>
    <t>Allow sebagai Koordinator</t>
  </si>
  <si>
    <t>Penugasan Kasus</t>
  </si>
  <si>
    <t>RBAC-039</t>
  </si>
  <si>
    <t>Lihat murid dalam scope Guru BK</t>
  </si>
  <si>
    <t>student_multi</t>
  </si>
  <si>
    <t>RBAC Murid Gamma / RBAC-STUDENT-MULTI</t>
  </si>
  <si>
    <t>Pindah dari XII-A ke XII-M; scope Guru A berakhir 2026-08-20, scope multi-role mulai 2026-08-21.</t>
  </si>
  <si>
    <t>GET /students/67</t>
  </si>
  <si>
    <t>Allow sebagai Guru BK</t>
  </si>
  <si>
    <t>RBAC Murid Gamma</t>
  </si>
  <si>
    <t>RBAC-040</t>
  </si>
  <si>
    <t>Kelola penugasan kelas</t>
  </si>
  <si>
    <t>class_assignment_manage</t>
  </si>
  <si>
    <t>Pengelolaan penugasan kelas</t>
  </si>
  <si>
    <t>Fungsi Koordinator; role Guru BK saja tidak cukup.</t>
  </si>
  <si>
    <t>GET /assignments/classes/manage</t>
  </si>
  <si>
    <t>RBAC-041</t>
  </si>
  <si>
    <t>Kelola Penugasan</t>
  </si>
  <si>
    <t>Ringkasan Pengujian RBAC</t>
  </si>
  <si>
    <t>Sumber: rbac-results-20260821-101032.csv</t>
  </si>
  <si>
    <t>Total Skenario</t>
  </si>
  <si>
    <t>Jumlah Requirement ID</t>
  </si>
  <si>
    <t>Pass</t>
  </si>
  <si>
    <t>Fail</t>
  </si>
  <si>
    <t>Belum diuji</t>
  </si>
  <si>
    <t>Legenda</t>
  </si>
  <si>
    <t>Kuning</t>
  </si>
  <si>
    <t>Kolom yang perlu diisi oleh penguji: Actual Access, Pass/Fail, Evidence, Notes</t>
  </si>
  <si>
    <t>Isi dengan hasil aktual saat pengujian: Allow / Deny</t>
  </si>
  <si>
    <t>Isi dengan: Pass / Fail / Blocked / N/A (tersedia dropdown)</t>
  </si>
  <si>
    <t>Must Appear / Must Not Appear</t>
  </si>
  <si>
    <t>Item yang wajib tampil / wajib tidak tampil pada respons, sebagai acuan verifikasi</t>
  </si>
  <si>
    <t>Kondisi data/relasi yang harus terpenuhi sebelum skenario dijalankan</t>
  </si>
  <si>
    <t>Bukti pengujian: screenshot, log request/response, atau referensi tiket</t>
  </si>
  <si>
    <t>Catatan tambahan bila ada anomali atau konteks khusus</t>
  </si>
  <si>
    <t>docs\testing\bukti-rbac\RBAC-001_guest_Deny.png</t>
  </si>
  <si>
    <t>docs\testing\bukti-rbac\RBAC-002_guru-a_Allow.png</t>
  </si>
  <si>
    <t>docs\testing\bukti-rbac\RBAC-003_credential-salah_Deny.png</t>
  </si>
  <si>
    <t>docs\testing\bukti-rbac\RBAC-004_guru-inactive_Deny.png</t>
  </si>
  <si>
    <t>docs\testing\bukti-rbac\RBAC-005_guru-a_dinonaktifkan_saat_sesi-aktif_Deny.png</t>
  </si>
  <si>
    <t>docs\testing\bukti-rbac\RBAC-006_guru-a_Allow.png</t>
  </si>
  <si>
    <t>docs\testing\bukti-rbac\RBAC-007_guru-a_Allow.png</t>
  </si>
  <si>
    <t>docs\testing\bukti-rbac\RBAC-008_guru-a_Deny.png</t>
  </si>
  <si>
    <t>docs\testing\bukti-rbac\RBAC-009_guru-a_Allow.png</t>
  </si>
  <si>
    <t>docs\testing\bukti-rbac\RBAC-011_guru-a_Allow.png</t>
  </si>
  <si>
    <t>docs\testing\bukti-rbac\RBAC-010_guru-a_Deny.png</t>
  </si>
  <si>
    <t>docs\testing\bukti-rbac\RBAC-017_waka-a_Deny.png</t>
  </si>
  <si>
    <t>docs\testing\bukti-rbac\RBAC-012_guru-a_Deny.png</t>
  </si>
  <si>
    <t>docs\testing\bukti-rbac\RBAC-013_guru-a_Allow.png</t>
  </si>
  <si>
    <t>docs\testing\bukti-rbac\RBAC-014_guru-a_Allow.png</t>
  </si>
  <si>
    <t>docs\testing\bukti-rbac\RBAC-015_guru-a_Allow.png</t>
  </si>
  <si>
    <t>docs\testing\bukti-rbac\RBAC-016_guru-a_Deny.png</t>
  </si>
  <si>
    <t>docs\testing\bukti-rbac\RBAC-018_guru-a_Allow.png</t>
  </si>
  <si>
    <t>docs\testing\bukti-rbac\RBAC-019_koordinator_Allow.png</t>
  </si>
  <si>
    <t>docs\testing\bukti-rbac\RBAC-021_admin_Deny.png</t>
  </si>
  <si>
    <t>docs\testing\bukti-rbac\RBAC-032_admin_Allow.png</t>
  </si>
  <si>
    <t>docs\testing\bukti-rbac\RBAC-033_admin_Allow.png</t>
  </si>
  <si>
    <t>docs\testing\bukti-rbac\RBAC-034_admin_Deny.png</t>
  </si>
  <si>
    <t>docs\testing\bukti-rbac\RBAC-035_admin_Deny.png</t>
  </si>
  <si>
    <t>docs\testing\bukti-rbac\RBAC-020_waka-a_Deny.png</t>
  </si>
  <si>
    <t>docs\testing\bukti-rbac\RBAC-022_multi-role_Allow.png</t>
  </si>
  <si>
    <t>docs\testing\bukti-rbac\RBAC-023_multi-role_Deny.png</t>
  </si>
  <si>
    <t>docs\testing\bukti-rbac\RBAC-024_multi-role_Allow.png</t>
  </si>
  <si>
    <t>docs\testing\bukti-rbac\RBAC-025_waka-a_Allow.png</t>
  </si>
  <si>
    <t>docs\testing\bukti-rbac\RBAC-026_waka-a_Deny.png</t>
  </si>
  <si>
    <t>docs\testing\bukti-rbac\RBAC-027_waka-b_Deny.png</t>
  </si>
  <si>
    <t>docs\testing\bukti-rbac\RBAC-028_waka-a_Deny.png</t>
  </si>
  <si>
    <t>docs\testing\bukti-rbac\RBAC-029_waka-a_Deny.png</t>
  </si>
  <si>
    <t>docs\testing\bukti-rbac\RBAC-030_waka-a_Allow.png</t>
  </si>
  <si>
    <t>docs\testing\bukti-rbac\RBAC-031_waka-a_Deny.png</t>
  </si>
  <si>
    <t>docs\testing\bukti-rbac\RBAC-038_multi-role_Allow.png</t>
  </si>
  <si>
    <t>docs\testing\bukti-rbac\RBAC-039_multi-role_Allow.png</t>
  </si>
  <si>
    <t>docs\testing\bukti-rbac\RBAC-040_guru-a_Deny.png</t>
  </si>
  <si>
    <t>docs\testing\bukti-rbac\RBAC-041_koordinator_Allow.png</t>
  </si>
  <si>
    <t>docs\testing\bukti-rbac\RBAC-036_admin_Deny.png</t>
  </si>
  <si>
    <t>docs\testing\bukti-rbac\RBAC-037_admin_Deny.png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</si>
</sst>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9"/>
      <color rgb="FF595959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2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55" zoomScaleNormal="55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P47" sqref="P47"/>
    </sheetView>
  </sheetViews>
  <sheetFormatPr defaultColWidth="8.7109375" defaultRowHeight="15" x14ac:dyDescent="0.25"/>
  <cols>
    <col min="1" max="1" width="12" customWidth="1"/>
    <col min="2" max="2" width="14" customWidth="1"/>
    <col min="3" max="3" width="20" customWidth="1"/>
    <col min="4" max="4" width="30" customWidth="1"/>
    <col min="5" max="5" width="22" customWidth="1"/>
    <col min="6" max="6" width="30" customWidth="1"/>
    <col min="7" max="7" width="38" customWidth="1"/>
    <col min="8" max="8" width="16" customWidth="1"/>
    <col min="9" max="9" width="30" customWidth="1"/>
    <col min="10" max="10" width="18" customWidth="1"/>
    <col min="11" max="11" width="34" customWidth="1"/>
    <col min="12" max="13" width="26" customWidth="1"/>
    <col min="14" max="14" width="14" customWidth="1"/>
    <col min="15" max="15" width="12" customWidth="1"/>
    <col min="16" max="16" width="26" customWidth="1"/>
    <col min="17" max="17" width="22" customWidth="1"/>
  </cols>
  <sheetData>
    <row r="1" spans="1:17" ht="18" x14ac:dyDescent="0.25">
      <c r="A1" s="2" t="s">
        <v>0</v>
      </c>
    </row>
    <row r="2" spans="1:17" x14ac:dyDescent="0.25">
      <c r="A2" s="3" t="s">
        <v>1</v>
      </c>
      <c r="B2" s="4" t="s">
        <v>2</v>
      </c>
    </row>
    <row r="3" spans="1:17" x14ac:dyDescent="0.25">
      <c r="A3" s="3" t="s">
        <v>3</v>
      </c>
      <c r="B3" s="4" t="s">
        <v>4</v>
      </c>
    </row>
    <row r="4" spans="1:17" x14ac:dyDescent="0.25">
      <c r="A4" s="3" t="s">
        <v>5</v>
      </c>
      <c r="B4" s="4" t="s">
        <v>6</v>
      </c>
    </row>
    <row r="6" spans="1:17" ht="30" customHeight="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</row>
    <row r="7" spans="1:17" ht="33.75" customHeight="1" x14ac:dyDescent="0.25">
      <c r="A7" s="6" t="s">
        <v>24</v>
      </c>
      <c r="B7" s="6" t="s">
        <v>25</v>
      </c>
      <c r="C7" s="7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6" t="s">
        <v>31</v>
      </c>
      <c r="I7" s="7" t="s">
        <v>32</v>
      </c>
      <c r="J7" s="6" t="s">
        <v>33</v>
      </c>
      <c r="K7" s="7" t="s">
        <v>34</v>
      </c>
      <c r="L7" s="7" t="s">
        <v>35</v>
      </c>
      <c r="M7" s="7"/>
      <c r="N7" s="8" t="s">
        <v>33</v>
      </c>
      <c r="O7" s="8" t="s">
        <v>292</v>
      </c>
      <c r="P7" s="9" t="s">
        <v>305</v>
      </c>
      <c r="Q7" s="9"/>
    </row>
    <row r="8" spans="1:17" ht="33.75" customHeight="1" x14ac:dyDescent="0.25">
      <c r="A8" s="6" t="s">
        <v>36</v>
      </c>
      <c r="B8" s="6" t="s">
        <v>25</v>
      </c>
      <c r="C8" s="7" t="s">
        <v>37</v>
      </c>
      <c r="D8" s="7" t="s">
        <v>27</v>
      </c>
      <c r="E8" s="7" t="s">
        <v>28</v>
      </c>
      <c r="F8" s="7" t="s">
        <v>29</v>
      </c>
      <c r="G8" s="7" t="s">
        <v>30</v>
      </c>
      <c r="H8" s="6" t="s">
        <v>38</v>
      </c>
      <c r="I8" s="7" t="s">
        <v>32</v>
      </c>
      <c r="J8" s="6" t="s">
        <v>39</v>
      </c>
      <c r="K8" s="7" t="s">
        <v>40</v>
      </c>
      <c r="L8" s="7" t="s">
        <v>41</v>
      </c>
      <c r="M8" s="7"/>
      <c r="N8" s="8" t="s">
        <v>39</v>
      </c>
      <c r="O8" s="8" t="s">
        <v>292</v>
      </c>
      <c r="P8" s="9" t="s">
        <v>306</v>
      </c>
      <c r="Q8" s="9"/>
    </row>
    <row r="9" spans="1:17" ht="33.75" customHeight="1" x14ac:dyDescent="0.25">
      <c r="A9" s="6" t="s">
        <v>42</v>
      </c>
      <c r="B9" s="6" t="s">
        <v>25</v>
      </c>
      <c r="C9" s="7" t="s">
        <v>43</v>
      </c>
      <c r="D9" s="7" t="s">
        <v>44</v>
      </c>
      <c r="E9" s="7" t="s">
        <v>45</v>
      </c>
      <c r="F9" s="7" t="s">
        <v>35</v>
      </c>
      <c r="G9" s="7" t="s">
        <v>46</v>
      </c>
      <c r="H9" s="6" t="s">
        <v>38</v>
      </c>
      <c r="I9" s="7" t="s">
        <v>47</v>
      </c>
      <c r="J9" s="6" t="s">
        <v>33</v>
      </c>
      <c r="K9" s="7" t="s">
        <v>48</v>
      </c>
      <c r="L9" s="7" t="s">
        <v>49</v>
      </c>
      <c r="M9" s="7"/>
      <c r="N9" s="8" t="s">
        <v>33</v>
      </c>
      <c r="O9" s="8" t="s">
        <v>292</v>
      </c>
      <c r="P9" s="9" t="s">
        <v>307</v>
      </c>
      <c r="Q9" s="9"/>
    </row>
    <row r="10" spans="1:17" ht="33.75" customHeight="1" x14ac:dyDescent="0.25">
      <c r="A10" s="6" t="s">
        <v>50</v>
      </c>
      <c r="B10" s="6" t="s">
        <v>25</v>
      </c>
      <c r="C10" s="7" t="s">
        <v>51</v>
      </c>
      <c r="D10" s="7" t="s">
        <v>52</v>
      </c>
      <c r="E10" s="7" t="s">
        <v>45</v>
      </c>
      <c r="F10" s="7" t="s">
        <v>35</v>
      </c>
      <c r="G10" s="7" t="s">
        <v>46</v>
      </c>
      <c r="H10" s="6" t="s">
        <v>38</v>
      </c>
      <c r="I10" s="7" t="s">
        <v>47</v>
      </c>
      <c r="J10" s="6" t="s">
        <v>33</v>
      </c>
      <c r="K10" s="7" t="s">
        <v>53</v>
      </c>
      <c r="L10" s="7" t="s">
        <v>49</v>
      </c>
      <c r="M10" s="7" t="s">
        <v>54</v>
      </c>
      <c r="N10" s="8" t="s">
        <v>33</v>
      </c>
      <c r="O10" s="8" t="s">
        <v>292</v>
      </c>
      <c r="P10" s="9" t="s">
        <v>308</v>
      </c>
      <c r="Q10" s="9"/>
    </row>
    <row r="11" spans="1:17" ht="33.75" customHeight="1" x14ac:dyDescent="0.25">
      <c r="A11" s="6" t="s">
        <v>55</v>
      </c>
      <c r="B11" s="6" t="s">
        <v>25</v>
      </c>
      <c r="C11" s="7" t="s">
        <v>56</v>
      </c>
      <c r="D11" s="7" t="s">
        <v>57</v>
      </c>
      <c r="E11" s="7" t="s">
        <v>28</v>
      </c>
      <c r="F11" s="7" t="s">
        <v>29</v>
      </c>
      <c r="G11" s="7" t="s">
        <v>30</v>
      </c>
      <c r="H11" s="6" t="s">
        <v>58</v>
      </c>
      <c r="I11" s="7" t="s">
        <v>32</v>
      </c>
      <c r="J11" s="6" t="s">
        <v>33</v>
      </c>
      <c r="K11" s="7" t="s">
        <v>59</v>
      </c>
      <c r="L11" s="7" t="s">
        <v>60</v>
      </c>
      <c r="M11" s="7"/>
      <c r="N11" s="8" t="s">
        <v>33</v>
      </c>
      <c r="O11" s="8" t="s">
        <v>292</v>
      </c>
      <c r="P11" s="9" t="s">
        <v>309</v>
      </c>
      <c r="Q11" s="9"/>
    </row>
    <row r="12" spans="1:17" ht="33.75" customHeight="1" x14ac:dyDescent="0.25">
      <c r="A12" s="10" t="s">
        <v>61</v>
      </c>
      <c r="B12" s="10" t="s">
        <v>62</v>
      </c>
      <c r="C12" s="11" t="s">
        <v>37</v>
      </c>
      <c r="D12" s="11" t="s">
        <v>63</v>
      </c>
      <c r="E12" s="11" t="s">
        <v>64</v>
      </c>
      <c r="F12" s="11" t="s">
        <v>65</v>
      </c>
      <c r="G12" s="11" t="s">
        <v>66</v>
      </c>
      <c r="H12" s="10" t="s">
        <v>38</v>
      </c>
      <c r="I12" s="11" t="s">
        <v>67</v>
      </c>
      <c r="J12" s="10" t="s">
        <v>68</v>
      </c>
      <c r="K12" s="11" t="s">
        <v>69</v>
      </c>
      <c r="L12" s="11" t="s">
        <v>70</v>
      </c>
      <c r="M12" s="11" t="s">
        <v>71</v>
      </c>
      <c r="N12" s="8" t="s">
        <v>39</v>
      </c>
      <c r="O12" s="8" t="s">
        <v>292</v>
      </c>
      <c r="P12" s="9" t="s">
        <v>310</v>
      </c>
      <c r="Q12" s="9"/>
    </row>
    <row r="13" spans="1:17" ht="33.75" customHeight="1" x14ac:dyDescent="0.25">
      <c r="A13" s="10" t="s">
        <v>72</v>
      </c>
      <c r="B13" s="10" t="s">
        <v>62</v>
      </c>
      <c r="C13" s="11" t="s">
        <v>37</v>
      </c>
      <c r="D13" s="11" t="s">
        <v>73</v>
      </c>
      <c r="E13" s="11" t="s">
        <v>74</v>
      </c>
      <c r="F13" s="11" t="s">
        <v>75</v>
      </c>
      <c r="G13" s="11" t="s">
        <v>76</v>
      </c>
      <c r="H13" s="10" t="s">
        <v>31</v>
      </c>
      <c r="I13" s="11" t="s">
        <v>77</v>
      </c>
      <c r="J13" s="10" t="s">
        <v>39</v>
      </c>
      <c r="K13" s="11" t="s">
        <v>40</v>
      </c>
      <c r="L13" s="11" t="s">
        <v>78</v>
      </c>
      <c r="M13" s="11"/>
      <c r="N13" s="8" t="s">
        <v>39</v>
      </c>
      <c r="O13" s="8" t="s">
        <v>292</v>
      </c>
      <c r="P13" s="9" t="s">
        <v>311</v>
      </c>
      <c r="Q13" s="9"/>
    </row>
    <row r="14" spans="1:17" ht="33.75" customHeight="1" x14ac:dyDescent="0.25">
      <c r="A14" s="10" t="s">
        <v>79</v>
      </c>
      <c r="B14" s="10" t="s">
        <v>62</v>
      </c>
      <c r="C14" s="11" t="s">
        <v>37</v>
      </c>
      <c r="D14" s="11" t="s">
        <v>80</v>
      </c>
      <c r="E14" s="11" t="s">
        <v>81</v>
      </c>
      <c r="F14" s="11" t="s">
        <v>82</v>
      </c>
      <c r="G14" s="11" t="s">
        <v>83</v>
      </c>
      <c r="H14" s="10" t="s">
        <v>31</v>
      </c>
      <c r="I14" s="11" t="s">
        <v>84</v>
      </c>
      <c r="J14" s="10" t="s">
        <v>85</v>
      </c>
      <c r="K14" s="11" t="s">
        <v>86</v>
      </c>
      <c r="L14" s="11"/>
      <c r="M14" s="11"/>
      <c r="N14" s="8" t="s">
        <v>33</v>
      </c>
      <c r="O14" s="8" t="s">
        <v>292</v>
      </c>
      <c r="P14" s="9" t="s">
        <v>312</v>
      </c>
      <c r="Q14" s="9"/>
    </row>
    <row r="15" spans="1:17" ht="33.75" customHeight="1" x14ac:dyDescent="0.25">
      <c r="A15" s="10" t="s">
        <v>87</v>
      </c>
      <c r="B15" s="10" t="s">
        <v>62</v>
      </c>
      <c r="C15" s="11" t="s">
        <v>37</v>
      </c>
      <c r="D15" s="11" t="s">
        <v>88</v>
      </c>
      <c r="E15" s="11" t="s">
        <v>89</v>
      </c>
      <c r="F15" s="11" t="s">
        <v>90</v>
      </c>
      <c r="G15" s="11" t="s">
        <v>91</v>
      </c>
      <c r="H15" s="10" t="s">
        <v>31</v>
      </c>
      <c r="I15" s="11" t="s">
        <v>92</v>
      </c>
      <c r="J15" s="10" t="s">
        <v>39</v>
      </c>
      <c r="K15" s="11" t="s">
        <v>40</v>
      </c>
      <c r="L15" s="11" t="s">
        <v>93</v>
      </c>
      <c r="M15" s="11"/>
      <c r="N15" s="8" t="s">
        <v>39</v>
      </c>
      <c r="O15" s="8" t="s">
        <v>292</v>
      </c>
      <c r="P15" s="9" t="s">
        <v>313</v>
      </c>
      <c r="Q15" s="9"/>
    </row>
    <row r="16" spans="1:17" ht="33.75" customHeight="1" x14ac:dyDescent="0.25">
      <c r="A16" s="10" t="s">
        <v>94</v>
      </c>
      <c r="B16" s="10" t="s">
        <v>62</v>
      </c>
      <c r="C16" s="11" t="s">
        <v>37</v>
      </c>
      <c r="D16" s="11" t="s">
        <v>95</v>
      </c>
      <c r="E16" s="11" t="s">
        <v>96</v>
      </c>
      <c r="F16" s="11" t="s">
        <v>97</v>
      </c>
      <c r="G16" s="11" t="s">
        <v>98</v>
      </c>
      <c r="H16" s="10" t="s">
        <v>31</v>
      </c>
      <c r="I16" s="11" t="s">
        <v>99</v>
      </c>
      <c r="J16" s="10" t="s">
        <v>85</v>
      </c>
      <c r="K16" s="11" t="s">
        <v>100</v>
      </c>
      <c r="L16" s="11"/>
      <c r="M16" s="11"/>
      <c r="N16" s="8" t="s">
        <v>33</v>
      </c>
      <c r="O16" s="8" t="s">
        <v>292</v>
      </c>
      <c r="P16" s="9" t="s">
        <v>315</v>
      </c>
      <c r="Q16" s="9"/>
    </row>
    <row r="17" spans="1:17" ht="33.75" customHeight="1" x14ac:dyDescent="0.25">
      <c r="A17" s="10" t="s">
        <v>101</v>
      </c>
      <c r="B17" s="10" t="s">
        <v>62</v>
      </c>
      <c r="C17" s="11" t="s">
        <v>37</v>
      </c>
      <c r="D17" s="11" t="s">
        <v>102</v>
      </c>
      <c r="E17" s="11" t="s">
        <v>103</v>
      </c>
      <c r="F17" s="11" t="s">
        <v>104</v>
      </c>
      <c r="G17" s="11" t="s">
        <v>105</v>
      </c>
      <c r="H17" s="10" t="s">
        <v>31</v>
      </c>
      <c r="I17" s="11" t="s">
        <v>106</v>
      </c>
      <c r="J17" s="10" t="s">
        <v>39</v>
      </c>
      <c r="K17" s="11" t="s">
        <v>40</v>
      </c>
      <c r="L17" s="11" t="s">
        <v>107</v>
      </c>
      <c r="M17" s="11"/>
      <c r="N17" s="8" t="s">
        <v>39</v>
      </c>
      <c r="O17" s="8" t="s">
        <v>292</v>
      </c>
      <c r="P17" s="9" t="s">
        <v>314</v>
      </c>
      <c r="Q17" s="9"/>
    </row>
    <row r="18" spans="1:17" ht="33.75" customHeight="1" x14ac:dyDescent="0.25">
      <c r="A18" s="10" t="s">
        <v>108</v>
      </c>
      <c r="B18" s="10" t="s">
        <v>62</v>
      </c>
      <c r="C18" s="11" t="s">
        <v>37</v>
      </c>
      <c r="D18" s="11" t="s">
        <v>109</v>
      </c>
      <c r="E18" s="11" t="s">
        <v>110</v>
      </c>
      <c r="F18" s="11" t="s">
        <v>111</v>
      </c>
      <c r="G18" s="11" t="s">
        <v>112</v>
      </c>
      <c r="H18" s="10" t="s">
        <v>31</v>
      </c>
      <c r="I18" s="11" t="s">
        <v>113</v>
      </c>
      <c r="J18" s="10" t="s">
        <v>85</v>
      </c>
      <c r="K18" s="11" t="s">
        <v>114</v>
      </c>
      <c r="L18" s="11"/>
      <c r="M18" s="11"/>
      <c r="N18" s="8" t="s">
        <v>33</v>
      </c>
      <c r="O18" s="8" t="s">
        <v>292</v>
      </c>
      <c r="P18" s="9" t="s">
        <v>317</v>
      </c>
      <c r="Q18" s="9"/>
    </row>
    <row r="19" spans="1:17" ht="33.75" customHeight="1" x14ac:dyDescent="0.25">
      <c r="A19" s="10" t="s">
        <v>115</v>
      </c>
      <c r="B19" s="10" t="s">
        <v>62</v>
      </c>
      <c r="C19" s="11" t="s">
        <v>37</v>
      </c>
      <c r="D19" s="11" t="s">
        <v>116</v>
      </c>
      <c r="E19" s="11" t="s">
        <v>117</v>
      </c>
      <c r="F19" s="11" t="s">
        <v>118</v>
      </c>
      <c r="G19" s="11" t="s">
        <v>119</v>
      </c>
      <c r="H19" s="10" t="s">
        <v>31</v>
      </c>
      <c r="I19" s="11" t="s">
        <v>120</v>
      </c>
      <c r="J19" s="10" t="s">
        <v>68</v>
      </c>
      <c r="K19" s="11" t="s">
        <v>121</v>
      </c>
      <c r="L19" s="11" t="s">
        <v>122</v>
      </c>
      <c r="M19" s="11" t="s">
        <v>123</v>
      </c>
      <c r="N19" s="8" t="s">
        <v>39</v>
      </c>
      <c r="O19" s="8" t="s">
        <v>292</v>
      </c>
      <c r="P19" s="9" t="s">
        <v>318</v>
      </c>
      <c r="Q19" s="9"/>
    </row>
    <row r="20" spans="1:17" ht="33.75" customHeight="1" x14ac:dyDescent="0.25">
      <c r="A20" s="6" t="s">
        <v>124</v>
      </c>
      <c r="B20" s="6" t="s">
        <v>125</v>
      </c>
      <c r="C20" s="7" t="s">
        <v>37</v>
      </c>
      <c r="D20" s="7" t="s">
        <v>126</v>
      </c>
      <c r="E20" s="7" t="s">
        <v>127</v>
      </c>
      <c r="F20" s="7" t="s">
        <v>128</v>
      </c>
      <c r="G20" s="7" t="s">
        <v>129</v>
      </c>
      <c r="H20" s="6" t="s">
        <v>31</v>
      </c>
      <c r="I20" s="7" t="s">
        <v>130</v>
      </c>
      <c r="J20" s="6" t="s">
        <v>131</v>
      </c>
      <c r="K20" s="7" t="s">
        <v>132</v>
      </c>
      <c r="L20" s="7"/>
      <c r="M20" s="7"/>
      <c r="N20" s="8" t="s">
        <v>33</v>
      </c>
      <c r="O20" s="8" t="s">
        <v>292</v>
      </c>
      <c r="P20" s="9" t="s">
        <v>319</v>
      </c>
      <c r="Q20" s="9"/>
    </row>
    <row r="21" spans="1:17" ht="33.75" customHeight="1" x14ac:dyDescent="0.25">
      <c r="A21" s="6" t="s">
        <v>133</v>
      </c>
      <c r="B21" s="6" t="s">
        <v>125</v>
      </c>
      <c r="C21" s="7" t="s">
        <v>37</v>
      </c>
      <c r="D21" s="7" t="s">
        <v>134</v>
      </c>
      <c r="E21" s="7" t="s">
        <v>135</v>
      </c>
      <c r="F21" s="7" t="s">
        <v>136</v>
      </c>
      <c r="G21" s="7" t="s">
        <v>137</v>
      </c>
      <c r="H21" s="6" t="s">
        <v>31</v>
      </c>
      <c r="I21" s="7" t="s">
        <v>138</v>
      </c>
      <c r="J21" s="6" t="s">
        <v>139</v>
      </c>
      <c r="K21" s="7" t="s">
        <v>140</v>
      </c>
      <c r="L21" s="7" t="s">
        <v>107</v>
      </c>
      <c r="M21" s="7"/>
      <c r="N21" s="8" t="s">
        <v>39</v>
      </c>
      <c r="O21" s="8" t="s">
        <v>292</v>
      </c>
      <c r="P21" s="9" t="s">
        <v>320</v>
      </c>
      <c r="Q21" s="9"/>
    </row>
    <row r="22" spans="1:17" ht="33.75" customHeight="1" x14ac:dyDescent="0.25">
      <c r="A22" s="6" t="s">
        <v>141</v>
      </c>
      <c r="B22" s="6" t="s">
        <v>125</v>
      </c>
      <c r="C22" s="7" t="s">
        <v>37</v>
      </c>
      <c r="D22" s="7" t="s">
        <v>142</v>
      </c>
      <c r="E22" s="7" t="s">
        <v>143</v>
      </c>
      <c r="F22" s="7" t="s">
        <v>144</v>
      </c>
      <c r="G22" s="7" t="s">
        <v>145</v>
      </c>
      <c r="H22" s="6" t="s">
        <v>31</v>
      </c>
      <c r="I22" s="7" t="s">
        <v>146</v>
      </c>
      <c r="J22" s="6" t="s">
        <v>85</v>
      </c>
      <c r="K22" s="7" t="s">
        <v>147</v>
      </c>
      <c r="L22" s="7"/>
      <c r="M22" s="7"/>
      <c r="N22" s="8" t="s">
        <v>33</v>
      </c>
      <c r="O22" s="8" t="s">
        <v>292</v>
      </c>
      <c r="P22" s="9" t="s">
        <v>321</v>
      </c>
      <c r="Q22" s="9"/>
    </row>
    <row r="23" spans="1:17" ht="33.75" customHeight="1" x14ac:dyDescent="0.25">
      <c r="A23" s="6" t="s">
        <v>148</v>
      </c>
      <c r="B23" s="6" t="s">
        <v>125</v>
      </c>
      <c r="C23" s="7" t="s">
        <v>149</v>
      </c>
      <c r="D23" s="7" t="s">
        <v>150</v>
      </c>
      <c r="E23" s="7" t="s">
        <v>96</v>
      </c>
      <c r="F23" s="7" t="s">
        <v>97</v>
      </c>
      <c r="G23" s="7" t="s">
        <v>98</v>
      </c>
      <c r="H23" s="6" t="s">
        <v>151</v>
      </c>
      <c r="I23" s="7" t="s">
        <v>152</v>
      </c>
      <c r="J23" s="6" t="s">
        <v>85</v>
      </c>
      <c r="K23" s="7" t="s">
        <v>153</v>
      </c>
      <c r="L23" s="7"/>
      <c r="M23" s="7"/>
      <c r="N23" s="8" t="s">
        <v>33</v>
      </c>
      <c r="O23" s="8" t="s">
        <v>292</v>
      </c>
      <c r="P23" s="9" t="s">
        <v>316</v>
      </c>
      <c r="Q23" s="9"/>
    </row>
    <row r="24" spans="1:17" ht="33.75" customHeight="1" x14ac:dyDescent="0.25">
      <c r="A24" s="10" t="s">
        <v>154</v>
      </c>
      <c r="B24" s="10" t="s">
        <v>155</v>
      </c>
      <c r="C24" s="11" t="s">
        <v>37</v>
      </c>
      <c r="D24" s="11" t="s">
        <v>156</v>
      </c>
      <c r="E24" s="11" t="s">
        <v>157</v>
      </c>
      <c r="F24" s="11" t="s">
        <v>158</v>
      </c>
      <c r="G24" s="11" t="s">
        <v>159</v>
      </c>
      <c r="H24" s="10" t="s">
        <v>31</v>
      </c>
      <c r="I24" s="11" t="s">
        <v>160</v>
      </c>
      <c r="J24" s="10" t="s">
        <v>161</v>
      </c>
      <c r="K24" s="11" t="s">
        <v>162</v>
      </c>
      <c r="L24" s="11" t="s">
        <v>163</v>
      </c>
      <c r="M24" s="11"/>
      <c r="N24" s="8" t="s">
        <v>39</v>
      </c>
      <c r="O24" s="8" t="s">
        <v>292</v>
      </c>
      <c r="P24" s="9" t="s">
        <v>322</v>
      </c>
      <c r="Q24" s="9"/>
    </row>
    <row r="25" spans="1:17" ht="33.75" customHeight="1" x14ac:dyDescent="0.25">
      <c r="A25" s="10" t="s">
        <v>164</v>
      </c>
      <c r="B25" s="10" t="s">
        <v>155</v>
      </c>
      <c r="C25" s="11" t="s">
        <v>165</v>
      </c>
      <c r="D25" s="11" t="s">
        <v>166</v>
      </c>
      <c r="E25" s="11" t="s">
        <v>157</v>
      </c>
      <c r="F25" s="11" t="s">
        <v>158</v>
      </c>
      <c r="G25" s="11" t="s">
        <v>159</v>
      </c>
      <c r="H25" s="10" t="s">
        <v>31</v>
      </c>
      <c r="I25" s="11" t="s">
        <v>160</v>
      </c>
      <c r="J25" s="10" t="s">
        <v>167</v>
      </c>
      <c r="K25" s="11" t="s">
        <v>168</v>
      </c>
      <c r="L25" s="11" t="s">
        <v>169</v>
      </c>
      <c r="M25" s="11" t="s">
        <v>170</v>
      </c>
      <c r="N25" s="8" t="s">
        <v>39</v>
      </c>
      <c r="O25" s="8" t="s">
        <v>292</v>
      </c>
      <c r="P25" s="9" t="s">
        <v>323</v>
      </c>
      <c r="Q25" s="9"/>
    </row>
    <row r="26" spans="1:17" ht="33.75" customHeight="1" x14ac:dyDescent="0.25">
      <c r="A26" s="10" t="s">
        <v>171</v>
      </c>
      <c r="B26" s="10" t="s">
        <v>155</v>
      </c>
      <c r="C26" s="11" t="s">
        <v>149</v>
      </c>
      <c r="D26" s="11" t="s">
        <v>172</v>
      </c>
      <c r="E26" s="11" t="s">
        <v>173</v>
      </c>
      <c r="F26" s="11" t="s">
        <v>174</v>
      </c>
      <c r="G26" s="11" t="s">
        <v>175</v>
      </c>
      <c r="H26" s="10" t="s">
        <v>31</v>
      </c>
      <c r="I26" s="11" t="s">
        <v>176</v>
      </c>
      <c r="J26" s="10" t="s">
        <v>85</v>
      </c>
      <c r="K26" s="11" t="s">
        <v>177</v>
      </c>
      <c r="L26" s="11"/>
      <c r="M26" s="11"/>
      <c r="N26" s="8" t="s">
        <v>33</v>
      </c>
      <c r="O26" s="8" t="s">
        <v>292</v>
      </c>
      <c r="P26" s="9" t="s">
        <v>329</v>
      </c>
      <c r="Q26" s="9"/>
    </row>
    <row r="27" spans="1:17" ht="33.75" customHeight="1" x14ac:dyDescent="0.25">
      <c r="A27" s="10" t="s">
        <v>178</v>
      </c>
      <c r="B27" s="10" t="s">
        <v>155</v>
      </c>
      <c r="C27" s="11" t="s">
        <v>179</v>
      </c>
      <c r="D27" s="11" t="s">
        <v>180</v>
      </c>
      <c r="E27" s="11" t="s">
        <v>157</v>
      </c>
      <c r="F27" s="11" t="s">
        <v>158</v>
      </c>
      <c r="G27" s="11" t="s">
        <v>159</v>
      </c>
      <c r="H27" s="10" t="s">
        <v>31</v>
      </c>
      <c r="I27" s="11" t="s">
        <v>160</v>
      </c>
      <c r="J27" s="10" t="s">
        <v>85</v>
      </c>
      <c r="K27" s="11" t="s">
        <v>147</v>
      </c>
      <c r="L27" s="11"/>
      <c r="M27" s="11"/>
      <c r="N27" s="8" t="s">
        <v>33</v>
      </c>
      <c r="O27" s="8" t="s">
        <v>292</v>
      </c>
      <c r="P27" s="9" t="s">
        <v>324</v>
      </c>
      <c r="Q27" s="9"/>
    </row>
    <row r="28" spans="1:17" ht="33.75" customHeight="1" x14ac:dyDescent="0.25">
      <c r="A28" s="10" t="s">
        <v>181</v>
      </c>
      <c r="B28" s="10" t="s">
        <v>155</v>
      </c>
      <c r="C28" s="11" t="s">
        <v>182</v>
      </c>
      <c r="D28" s="11" t="s">
        <v>183</v>
      </c>
      <c r="E28" s="11" t="s">
        <v>184</v>
      </c>
      <c r="F28" s="11" t="s">
        <v>185</v>
      </c>
      <c r="G28" s="11" t="s">
        <v>186</v>
      </c>
      <c r="H28" s="10" t="s">
        <v>31</v>
      </c>
      <c r="I28" s="11" t="s">
        <v>187</v>
      </c>
      <c r="J28" s="10" t="s">
        <v>188</v>
      </c>
      <c r="K28" s="11" t="s">
        <v>189</v>
      </c>
      <c r="L28" s="11" t="s">
        <v>190</v>
      </c>
      <c r="M28" s="11"/>
      <c r="N28" s="8" t="s">
        <v>39</v>
      </c>
      <c r="O28" s="8" t="s">
        <v>292</v>
      </c>
      <c r="P28" s="9" t="s">
        <v>330</v>
      </c>
      <c r="Q28" s="9"/>
    </row>
    <row r="29" spans="1:17" ht="33.75" customHeight="1" x14ac:dyDescent="0.25">
      <c r="A29" s="10" t="s">
        <v>191</v>
      </c>
      <c r="B29" s="10" t="s">
        <v>155</v>
      </c>
      <c r="C29" s="11" t="s">
        <v>182</v>
      </c>
      <c r="D29" s="11" t="s">
        <v>192</v>
      </c>
      <c r="E29" s="11" t="s">
        <v>184</v>
      </c>
      <c r="F29" s="11" t="s">
        <v>185</v>
      </c>
      <c r="G29" s="11" t="s">
        <v>186</v>
      </c>
      <c r="H29" s="10" t="s">
        <v>31</v>
      </c>
      <c r="I29" s="11" t="s">
        <v>193</v>
      </c>
      <c r="J29" s="10" t="s">
        <v>85</v>
      </c>
      <c r="K29" s="11" t="s">
        <v>194</v>
      </c>
      <c r="L29" s="11"/>
      <c r="M29" s="11"/>
      <c r="N29" s="8" t="s">
        <v>33</v>
      </c>
      <c r="O29" s="8" t="s">
        <v>292</v>
      </c>
      <c r="P29" s="9" t="s">
        <v>331</v>
      </c>
      <c r="Q29" s="9"/>
    </row>
    <row r="30" spans="1:17" ht="33.75" customHeight="1" x14ac:dyDescent="0.25">
      <c r="A30" s="6" t="s">
        <v>195</v>
      </c>
      <c r="B30" s="6" t="s">
        <v>196</v>
      </c>
      <c r="C30" s="7" t="s">
        <v>182</v>
      </c>
      <c r="D30" s="7" t="s">
        <v>197</v>
      </c>
      <c r="E30" s="7" t="s">
        <v>157</v>
      </c>
      <c r="F30" s="7" t="s">
        <v>158</v>
      </c>
      <c r="G30" s="7" t="s">
        <v>159</v>
      </c>
      <c r="H30" s="6" t="s">
        <v>31</v>
      </c>
      <c r="I30" s="7" t="s">
        <v>160</v>
      </c>
      <c r="J30" s="6" t="s">
        <v>167</v>
      </c>
      <c r="K30" s="7" t="s">
        <v>198</v>
      </c>
      <c r="L30" s="7" t="s">
        <v>169</v>
      </c>
      <c r="M30" s="7" t="s">
        <v>170</v>
      </c>
      <c r="N30" s="8" t="s">
        <v>39</v>
      </c>
      <c r="O30" s="8" t="s">
        <v>292</v>
      </c>
      <c r="P30" s="9" t="s">
        <v>332</v>
      </c>
      <c r="Q30" s="9"/>
    </row>
    <row r="31" spans="1:17" ht="33.75" customHeight="1" x14ac:dyDescent="0.25">
      <c r="A31" s="10" t="s">
        <v>199</v>
      </c>
      <c r="B31" s="10" t="s">
        <v>200</v>
      </c>
      <c r="C31" s="11" t="s">
        <v>149</v>
      </c>
      <c r="D31" s="11" t="s">
        <v>201</v>
      </c>
      <c r="E31" s="11" t="s">
        <v>96</v>
      </c>
      <c r="F31" s="11" t="s">
        <v>97</v>
      </c>
      <c r="G31" s="11" t="s">
        <v>98</v>
      </c>
      <c r="H31" s="10" t="s">
        <v>31</v>
      </c>
      <c r="I31" s="11" t="s">
        <v>99</v>
      </c>
      <c r="J31" s="10" t="s">
        <v>202</v>
      </c>
      <c r="K31" s="11" t="s">
        <v>203</v>
      </c>
      <c r="L31" s="11" t="s">
        <v>204</v>
      </c>
      <c r="M31" s="11" t="s">
        <v>205</v>
      </c>
      <c r="N31" s="8" t="s">
        <v>39</v>
      </c>
      <c r="O31" s="8" t="s">
        <v>292</v>
      </c>
      <c r="P31" s="9" t="s">
        <v>333</v>
      </c>
      <c r="Q31" s="9"/>
    </row>
    <row r="32" spans="1:17" ht="33.75" customHeight="1" x14ac:dyDescent="0.25">
      <c r="A32" s="10" t="s">
        <v>206</v>
      </c>
      <c r="B32" s="10" t="s">
        <v>200</v>
      </c>
      <c r="C32" s="11" t="s">
        <v>149</v>
      </c>
      <c r="D32" s="11" t="s">
        <v>207</v>
      </c>
      <c r="E32" s="11" t="s">
        <v>89</v>
      </c>
      <c r="F32" s="11" t="s">
        <v>90</v>
      </c>
      <c r="G32" s="11" t="s">
        <v>91</v>
      </c>
      <c r="H32" s="10" t="s">
        <v>31</v>
      </c>
      <c r="I32" s="11" t="s">
        <v>92</v>
      </c>
      <c r="J32" s="10" t="s">
        <v>85</v>
      </c>
      <c r="K32" s="11" t="s">
        <v>147</v>
      </c>
      <c r="L32" s="11"/>
      <c r="M32" s="11"/>
      <c r="N32" s="8" t="s">
        <v>33</v>
      </c>
      <c r="O32" s="8" t="s">
        <v>292</v>
      </c>
      <c r="P32" s="9" t="s">
        <v>334</v>
      </c>
      <c r="Q32" s="9"/>
    </row>
    <row r="33" spans="1:17" ht="33.75" customHeight="1" x14ac:dyDescent="0.25">
      <c r="A33" s="10" t="s">
        <v>208</v>
      </c>
      <c r="B33" s="10" t="s">
        <v>200</v>
      </c>
      <c r="C33" s="11" t="s">
        <v>209</v>
      </c>
      <c r="D33" s="11" t="s">
        <v>210</v>
      </c>
      <c r="E33" s="11" t="s">
        <v>96</v>
      </c>
      <c r="F33" s="11" t="s">
        <v>97</v>
      </c>
      <c r="G33" s="11" t="s">
        <v>98</v>
      </c>
      <c r="H33" s="10" t="s">
        <v>31</v>
      </c>
      <c r="I33" s="11" t="s">
        <v>99</v>
      </c>
      <c r="J33" s="10" t="s">
        <v>85</v>
      </c>
      <c r="K33" s="11" t="s">
        <v>211</v>
      </c>
      <c r="L33" s="11"/>
      <c r="M33" s="11"/>
      <c r="N33" s="8" t="s">
        <v>33</v>
      </c>
      <c r="O33" s="8" t="s">
        <v>292</v>
      </c>
      <c r="P33" s="9" t="s">
        <v>335</v>
      </c>
      <c r="Q33" s="9"/>
    </row>
    <row r="34" spans="1:17" ht="33.75" customHeight="1" x14ac:dyDescent="0.25">
      <c r="A34" s="10" t="s">
        <v>212</v>
      </c>
      <c r="B34" s="10" t="s">
        <v>200</v>
      </c>
      <c r="C34" s="11" t="s">
        <v>149</v>
      </c>
      <c r="D34" s="11" t="s">
        <v>213</v>
      </c>
      <c r="E34" s="11" t="s">
        <v>96</v>
      </c>
      <c r="F34" s="11" t="s">
        <v>97</v>
      </c>
      <c r="G34" s="11" t="s">
        <v>98</v>
      </c>
      <c r="H34" s="10" t="s">
        <v>31</v>
      </c>
      <c r="I34" s="11" t="s">
        <v>214</v>
      </c>
      <c r="J34" s="10" t="s">
        <v>85</v>
      </c>
      <c r="K34" s="11" t="s">
        <v>147</v>
      </c>
      <c r="L34" s="11"/>
      <c r="M34" s="11"/>
      <c r="N34" s="8" t="s">
        <v>33</v>
      </c>
      <c r="O34" s="8" t="s">
        <v>292</v>
      </c>
      <c r="P34" s="9" t="s">
        <v>336</v>
      </c>
      <c r="Q34" s="9"/>
    </row>
    <row r="35" spans="1:17" ht="33.75" customHeight="1" x14ac:dyDescent="0.25">
      <c r="A35" s="10" t="s">
        <v>215</v>
      </c>
      <c r="B35" s="10" t="s">
        <v>200</v>
      </c>
      <c r="C35" s="11" t="s">
        <v>149</v>
      </c>
      <c r="D35" s="11" t="s">
        <v>216</v>
      </c>
      <c r="E35" s="11" t="s">
        <v>217</v>
      </c>
      <c r="F35" s="11" t="s">
        <v>216</v>
      </c>
      <c r="G35" s="11" t="s">
        <v>218</v>
      </c>
      <c r="H35" s="10" t="s">
        <v>31</v>
      </c>
      <c r="I35" s="11" t="s">
        <v>219</v>
      </c>
      <c r="J35" s="10" t="s">
        <v>85</v>
      </c>
      <c r="K35" s="11" t="s">
        <v>147</v>
      </c>
      <c r="L35" s="11"/>
      <c r="M35" s="11"/>
      <c r="N35" s="8" t="s">
        <v>33</v>
      </c>
      <c r="O35" s="8" t="s">
        <v>292</v>
      </c>
      <c r="P35" s="9" t="s">
        <v>337</v>
      </c>
      <c r="Q35" s="9"/>
    </row>
    <row r="36" spans="1:17" ht="33.75" customHeight="1" x14ac:dyDescent="0.25">
      <c r="A36" s="10" t="s">
        <v>220</v>
      </c>
      <c r="B36" s="10" t="s">
        <v>200</v>
      </c>
      <c r="C36" s="11" t="s">
        <v>149</v>
      </c>
      <c r="D36" s="11" t="s">
        <v>221</v>
      </c>
      <c r="E36" s="11" t="s">
        <v>222</v>
      </c>
      <c r="F36" s="11" t="s">
        <v>223</v>
      </c>
      <c r="G36" s="11" t="s">
        <v>224</v>
      </c>
      <c r="H36" s="10" t="s">
        <v>31</v>
      </c>
      <c r="I36" s="11" t="s">
        <v>225</v>
      </c>
      <c r="J36" s="10" t="s">
        <v>202</v>
      </c>
      <c r="K36" s="11" t="s">
        <v>40</v>
      </c>
      <c r="L36" s="11" t="s">
        <v>226</v>
      </c>
      <c r="M36" s="11"/>
      <c r="N36" s="8" t="s">
        <v>39</v>
      </c>
      <c r="O36" s="8" t="s">
        <v>292</v>
      </c>
      <c r="P36" s="9" t="s">
        <v>338</v>
      </c>
      <c r="Q36" s="9"/>
    </row>
    <row r="37" spans="1:17" ht="33.75" customHeight="1" x14ac:dyDescent="0.25">
      <c r="A37" s="10" t="s">
        <v>227</v>
      </c>
      <c r="B37" s="10" t="s">
        <v>200</v>
      </c>
      <c r="C37" s="11" t="s">
        <v>149</v>
      </c>
      <c r="D37" s="11" t="s">
        <v>228</v>
      </c>
      <c r="E37" s="11" t="s">
        <v>229</v>
      </c>
      <c r="F37" s="11" t="s">
        <v>230</v>
      </c>
      <c r="G37" s="11" t="s">
        <v>231</v>
      </c>
      <c r="H37" s="10" t="s">
        <v>31</v>
      </c>
      <c r="I37" s="11" t="s">
        <v>232</v>
      </c>
      <c r="J37" s="10" t="s">
        <v>85</v>
      </c>
      <c r="K37" s="11" t="s">
        <v>147</v>
      </c>
      <c r="L37" s="11"/>
      <c r="M37" s="11"/>
      <c r="N37" s="8" t="s">
        <v>33</v>
      </c>
      <c r="O37" s="8" t="s">
        <v>292</v>
      </c>
      <c r="P37" s="9" t="s">
        <v>339</v>
      </c>
      <c r="Q37" s="9"/>
    </row>
    <row r="38" spans="1:17" ht="33.75" customHeight="1" x14ac:dyDescent="0.25">
      <c r="A38" s="6" t="s">
        <v>233</v>
      </c>
      <c r="B38" s="6" t="s">
        <v>234</v>
      </c>
      <c r="C38" s="7" t="s">
        <v>179</v>
      </c>
      <c r="D38" s="7" t="s">
        <v>235</v>
      </c>
      <c r="E38" s="7" t="s">
        <v>236</v>
      </c>
      <c r="F38" s="7" t="s">
        <v>237</v>
      </c>
      <c r="G38" s="7" t="s">
        <v>238</v>
      </c>
      <c r="H38" s="6" t="s">
        <v>38</v>
      </c>
      <c r="I38" s="7" t="s">
        <v>239</v>
      </c>
      <c r="J38" s="6" t="s">
        <v>39</v>
      </c>
      <c r="K38" s="7" t="s">
        <v>240</v>
      </c>
      <c r="L38" s="7" t="s">
        <v>241</v>
      </c>
      <c r="M38" s="7"/>
      <c r="N38" s="8" t="s">
        <v>39</v>
      </c>
      <c r="O38" s="8" t="s">
        <v>292</v>
      </c>
      <c r="P38" s="9" t="s">
        <v>325</v>
      </c>
      <c r="Q38" s="9"/>
    </row>
    <row r="39" spans="1:17" ht="33.75" customHeight="1" x14ac:dyDescent="0.25">
      <c r="A39" s="6" t="s">
        <v>242</v>
      </c>
      <c r="B39" s="6" t="s">
        <v>234</v>
      </c>
      <c r="C39" s="7" t="s">
        <v>179</v>
      </c>
      <c r="D39" s="7" t="s">
        <v>243</v>
      </c>
      <c r="E39" s="7" t="s">
        <v>244</v>
      </c>
      <c r="F39" s="7" t="s">
        <v>245</v>
      </c>
      <c r="G39" s="7" t="s">
        <v>246</v>
      </c>
      <c r="H39" s="6" t="s">
        <v>38</v>
      </c>
      <c r="I39" s="7" t="s">
        <v>247</v>
      </c>
      <c r="J39" s="6" t="s">
        <v>39</v>
      </c>
      <c r="K39" s="7" t="s">
        <v>40</v>
      </c>
      <c r="L39" s="7" t="s">
        <v>245</v>
      </c>
      <c r="M39" s="7"/>
      <c r="N39" s="8" t="s">
        <v>39</v>
      </c>
      <c r="O39" s="8" t="s">
        <v>292</v>
      </c>
      <c r="P39" s="9" t="s">
        <v>326</v>
      </c>
      <c r="Q39" s="9"/>
    </row>
    <row r="40" spans="1:17" ht="33.75" customHeight="1" x14ac:dyDescent="0.25">
      <c r="A40" s="6" t="s">
        <v>248</v>
      </c>
      <c r="B40" s="6" t="s">
        <v>234</v>
      </c>
      <c r="C40" s="7" t="s">
        <v>179</v>
      </c>
      <c r="D40" s="7" t="s">
        <v>249</v>
      </c>
      <c r="E40" s="7" t="s">
        <v>250</v>
      </c>
      <c r="F40" s="7" t="s">
        <v>251</v>
      </c>
      <c r="G40" s="7" t="s">
        <v>252</v>
      </c>
      <c r="H40" s="6" t="s">
        <v>31</v>
      </c>
      <c r="I40" s="7" t="s">
        <v>253</v>
      </c>
      <c r="J40" s="6" t="s">
        <v>85</v>
      </c>
      <c r="K40" s="7" t="s">
        <v>147</v>
      </c>
      <c r="L40" s="7"/>
      <c r="M40" s="7"/>
      <c r="N40" s="8" t="s">
        <v>33</v>
      </c>
      <c r="O40" s="8" t="s">
        <v>292</v>
      </c>
      <c r="P40" s="9" t="s">
        <v>327</v>
      </c>
      <c r="Q40" s="9"/>
    </row>
    <row r="41" spans="1:17" ht="33.75" customHeight="1" x14ac:dyDescent="0.25">
      <c r="A41" s="6" t="s">
        <v>254</v>
      </c>
      <c r="B41" s="6" t="s">
        <v>234</v>
      </c>
      <c r="C41" s="7" t="s">
        <v>179</v>
      </c>
      <c r="D41" s="7" t="s">
        <v>255</v>
      </c>
      <c r="E41" s="7" t="s">
        <v>74</v>
      </c>
      <c r="F41" s="7" t="s">
        <v>75</v>
      </c>
      <c r="G41" s="7" t="s">
        <v>76</v>
      </c>
      <c r="H41" s="6" t="s">
        <v>31</v>
      </c>
      <c r="I41" s="7" t="s">
        <v>77</v>
      </c>
      <c r="J41" s="6" t="s">
        <v>85</v>
      </c>
      <c r="K41" s="7" t="s">
        <v>147</v>
      </c>
      <c r="L41" s="7"/>
      <c r="M41" s="7"/>
      <c r="N41" s="8" t="s">
        <v>33</v>
      </c>
      <c r="O41" s="8" t="s">
        <v>292</v>
      </c>
      <c r="P41" s="9" t="s">
        <v>328</v>
      </c>
      <c r="Q41" s="9"/>
    </row>
    <row r="42" spans="1:17" ht="33.75" customHeight="1" x14ac:dyDescent="0.25">
      <c r="A42" s="6" t="s">
        <v>256</v>
      </c>
      <c r="B42" s="6" t="s">
        <v>234</v>
      </c>
      <c r="C42" s="7" t="s">
        <v>179</v>
      </c>
      <c r="D42" s="7" t="s">
        <v>257</v>
      </c>
      <c r="E42" s="7" t="s">
        <v>258</v>
      </c>
      <c r="F42" s="7" t="s">
        <v>259</v>
      </c>
      <c r="G42" s="7" t="s">
        <v>260</v>
      </c>
      <c r="H42" s="6" t="s">
        <v>31</v>
      </c>
      <c r="I42" s="7" t="s">
        <v>261</v>
      </c>
      <c r="J42" s="6" t="s">
        <v>85</v>
      </c>
      <c r="K42" s="7" t="s">
        <v>147</v>
      </c>
      <c r="L42" s="7"/>
      <c r="M42" s="7"/>
      <c r="N42" s="8" t="s">
        <v>33</v>
      </c>
      <c r="O42" s="8" t="s">
        <v>292</v>
      </c>
      <c r="P42" s="9" t="s">
        <v>344</v>
      </c>
      <c r="Q42" s="9"/>
    </row>
    <row r="43" spans="1:17" ht="33.75" customHeight="1" x14ac:dyDescent="0.25">
      <c r="A43" s="6" t="s">
        <v>262</v>
      </c>
      <c r="B43" s="6" t="s">
        <v>234</v>
      </c>
      <c r="C43" s="7" t="s">
        <v>179</v>
      </c>
      <c r="D43" s="7" t="s">
        <v>263</v>
      </c>
      <c r="E43" s="7" t="s">
        <v>222</v>
      </c>
      <c r="F43" s="7" t="s">
        <v>223</v>
      </c>
      <c r="G43" s="7" t="s">
        <v>224</v>
      </c>
      <c r="H43" s="6" t="s">
        <v>31</v>
      </c>
      <c r="I43" s="7" t="s">
        <v>225</v>
      </c>
      <c r="J43" s="6" t="s">
        <v>85</v>
      </c>
      <c r="K43" s="7" t="s">
        <v>147</v>
      </c>
      <c r="L43" s="7"/>
      <c r="M43" s="7"/>
      <c r="N43" s="8" t="s">
        <v>33</v>
      </c>
      <c r="O43" s="8" t="s">
        <v>292</v>
      </c>
      <c r="P43" s="9" t="s">
        <v>345</v>
      </c>
      <c r="Q43" s="9"/>
    </row>
    <row r="44" spans="1:17" ht="33.75" customHeight="1" x14ac:dyDescent="0.25">
      <c r="A44" s="10" t="s">
        <v>264</v>
      </c>
      <c r="B44" s="10" t="s">
        <v>196</v>
      </c>
      <c r="C44" s="11" t="s">
        <v>182</v>
      </c>
      <c r="D44" s="11" t="s">
        <v>265</v>
      </c>
      <c r="E44" s="11" t="s">
        <v>266</v>
      </c>
      <c r="F44" s="11" t="s">
        <v>267</v>
      </c>
      <c r="G44" s="11" t="s">
        <v>268</v>
      </c>
      <c r="H44" s="10" t="s">
        <v>38</v>
      </c>
      <c r="I44" s="11" t="s">
        <v>269</v>
      </c>
      <c r="J44" s="10" t="s">
        <v>270</v>
      </c>
      <c r="K44" s="11" t="s">
        <v>40</v>
      </c>
      <c r="L44" s="11" t="s">
        <v>271</v>
      </c>
      <c r="M44" s="11"/>
      <c r="N44" s="8" t="s">
        <v>39</v>
      </c>
      <c r="O44" s="8" t="s">
        <v>292</v>
      </c>
      <c r="P44" s="9" t="s">
        <v>340</v>
      </c>
      <c r="Q44" s="9"/>
    </row>
    <row r="45" spans="1:17" ht="33.75" customHeight="1" x14ac:dyDescent="0.25">
      <c r="A45" s="10" t="s">
        <v>272</v>
      </c>
      <c r="B45" s="10" t="s">
        <v>196</v>
      </c>
      <c r="C45" s="11" t="s">
        <v>182</v>
      </c>
      <c r="D45" s="11" t="s">
        <v>273</v>
      </c>
      <c r="E45" s="11" t="s">
        <v>274</v>
      </c>
      <c r="F45" s="11" t="s">
        <v>275</v>
      </c>
      <c r="G45" s="11" t="s">
        <v>276</v>
      </c>
      <c r="H45" s="10" t="s">
        <v>31</v>
      </c>
      <c r="I45" s="11" t="s">
        <v>277</v>
      </c>
      <c r="J45" s="10" t="s">
        <v>278</v>
      </c>
      <c r="K45" s="11" t="s">
        <v>40</v>
      </c>
      <c r="L45" s="11" t="s">
        <v>279</v>
      </c>
      <c r="M45" s="11"/>
      <c r="N45" s="8" t="s">
        <v>39</v>
      </c>
      <c r="O45" s="8" t="s">
        <v>292</v>
      </c>
      <c r="P45" s="9" t="s">
        <v>341</v>
      </c>
      <c r="Q45" s="9"/>
    </row>
    <row r="46" spans="1:17" ht="33.75" customHeight="1" x14ac:dyDescent="0.25">
      <c r="A46" s="10" t="s">
        <v>280</v>
      </c>
      <c r="B46" s="10" t="s">
        <v>196</v>
      </c>
      <c r="C46" s="11" t="s">
        <v>37</v>
      </c>
      <c r="D46" s="11" t="s">
        <v>281</v>
      </c>
      <c r="E46" s="11" t="s">
        <v>282</v>
      </c>
      <c r="F46" s="11" t="s">
        <v>283</v>
      </c>
      <c r="G46" s="11" t="s">
        <v>284</v>
      </c>
      <c r="H46" s="10" t="s">
        <v>31</v>
      </c>
      <c r="I46" s="11" t="s">
        <v>285</v>
      </c>
      <c r="J46" s="10" t="s">
        <v>85</v>
      </c>
      <c r="K46" s="11" t="s">
        <v>147</v>
      </c>
      <c r="L46" s="11"/>
      <c r="M46" s="11"/>
      <c r="N46" s="8" t="s">
        <v>33</v>
      </c>
      <c r="O46" s="8" t="s">
        <v>292</v>
      </c>
      <c r="P46" s="9" t="s">
        <v>342</v>
      </c>
      <c r="Q46" s="9"/>
    </row>
    <row r="47" spans="1:17" ht="33.75" customHeight="1" x14ac:dyDescent="0.25">
      <c r="A47" s="10" t="s">
        <v>286</v>
      </c>
      <c r="B47" s="10" t="s">
        <v>196</v>
      </c>
      <c r="C47" s="11" t="s">
        <v>165</v>
      </c>
      <c r="D47" s="11" t="s">
        <v>281</v>
      </c>
      <c r="E47" s="11" t="s">
        <v>282</v>
      </c>
      <c r="F47" s="11" t="s">
        <v>283</v>
      </c>
      <c r="G47" s="11" t="s">
        <v>284</v>
      </c>
      <c r="H47" s="10" t="s">
        <v>38</v>
      </c>
      <c r="I47" s="11" t="s">
        <v>285</v>
      </c>
      <c r="J47" s="10" t="s">
        <v>39</v>
      </c>
      <c r="K47" s="11" t="s">
        <v>40</v>
      </c>
      <c r="L47" s="11" t="s">
        <v>287</v>
      </c>
      <c r="M47" s="11"/>
      <c r="N47" s="8" t="s">
        <v>39</v>
      </c>
      <c r="O47" s="8" t="s">
        <v>292</v>
      </c>
      <c r="P47" s="9" t="s">
        <v>343</v>
      </c>
      <c r="Q47" s="9"/>
    </row>
  </sheetData>
  <autoFilter ref="A6:Q47" xr:uid="{00000000-0009-0000-0000-000000000000}"/>
  <conditionalFormatting sqref="O7:O47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N7:N47" xr:uid="{00000000-0002-0000-0000-000000000000}">
      <formula1>"Allow,Deny"</formula1>
      <formula2>0</formula2>
    </dataValidation>
    <dataValidation type="list" allowBlank="1" sqref="O7:O47" xr:uid="{00000000-0002-0000-0000-000001000000}">
      <formula1>"Pass,Fail,Blocked,N/A"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30" customWidth="1"/>
  </cols>
  <sheetData>
    <row r="1" spans="1:6" ht="18" x14ac:dyDescent="0.25">
      <c r="A1" s="2" t="s">
        <v>288</v>
      </c>
    </row>
    <row r="2" spans="1:6" x14ac:dyDescent="0.25">
      <c r="A2" s="12" t="s">
        <v>289</v>
      </c>
    </row>
    <row r="4" spans="1:6" x14ac:dyDescent="0.25">
      <c r="A4" s="3" t="s">
        <v>1</v>
      </c>
      <c r="B4" s="4" t="s">
        <v>2</v>
      </c>
    </row>
    <row r="5" spans="1:6" x14ac:dyDescent="0.25">
      <c r="A5" s="3" t="s">
        <v>3</v>
      </c>
      <c r="B5" s="4" t="s">
        <v>4</v>
      </c>
    </row>
    <row r="6" spans="1:6" x14ac:dyDescent="0.25">
      <c r="A6" s="3" t="s">
        <v>5</v>
      </c>
      <c r="B6" s="4" t="s">
        <v>6</v>
      </c>
    </row>
    <row r="8" spans="1:6" x14ac:dyDescent="0.25">
      <c r="A8" s="13" t="s">
        <v>290</v>
      </c>
      <c r="B8" s="14">
        <f>COUNTA('RBAC Results'!A7:A47)</f>
        <v>41</v>
      </c>
    </row>
    <row r="9" spans="1:6" x14ac:dyDescent="0.25">
      <c r="A9" s="13" t="s">
        <v>291</v>
      </c>
      <c r="B9" s="14">
        <f>SUMPRODUCT(1/COUNTIF('RBAC Results'!B7:B47,'RBAC Results'!B7:B47))</f>
        <v>7.0000000000000044</v>
      </c>
    </row>
    <row r="10" spans="1:6" x14ac:dyDescent="0.25">
      <c r="A10" s="13" t="s">
        <v>292</v>
      </c>
      <c r="B10" s="14">
        <f>COUNTIF('RBAC Results'!O7:O47,"Pass")</f>
        <v>41</v>
      </c>
    </row>
    <row r="11" spans="1:6" x14ac:dyDescent="0.25">
      <c r="A11" s="13" t="s">
        <v>293</v>
      </c>
      <c r="B11" s="14">
        <f>COUNTIF('RBAC Results'!O7:O47,"Fail")</f>
        <v>0</v>
      </c>
    </row>
    <row r="12" spans="1:6" x14ac:dyDescent="0.25">
      <c r="A12" s="13" t="s">
        <v>294</v>
      </c>
      <c r="B12" s="14">
        <f>B8-B10-B11</f>
        <v>0</v>
      </c>
    </row>
    <row r="14" spans="1:6" x14ac:dyDescent="0.25">
      <c r="A14" s="15" t="s">
        <v>295</v>
      </c>
    </row>
    <row r="15" spans="1:6" x14ac:dyDescent="0.25">
      <c r="A15" s="16" t="s">
        <v>296</v>
      </c>
      <c r="B15" s="1" t="s">
        <v>297</v>
      </c>
      <c r="C15" s="1"/>
      <c r="D15" s="1"/>
      <c r="E15" s="1"/>
      <c r="F15" s="1"/>
    </row>
    <row r="16" spans="1:6" x14ac:dyDescent="0.25">
      <c r="A16" s="16" t="s">
        <v>20</v>
      </c>
      <c r="B16" s="1" t="s">
        <v>298</v>
      </c>
      <c r="C16" s="1"/>
      <c r="D16" s="1"/>
      <c r="E16" s="1"/>
      <c r="F16" s="1"/>
    </row>
    <row r="17" spans="1:6" x14ac:dyDescent="0.25">
      <c r="A17" s="16" t="s">
        <v>21</v>
      </c>
      <c r="B17" s="1" t="s">
        <v>299</v>
      </c>
      <c r="C17" s="1"/>
      <c r="D17" s="1"/>
      <c r="E17" s="1"/>
      <c r="F17" s="1"/>
    </row>
    <row r="18" spans="1:6" x14ac:dyDescent="0.25">
      <c r="A18" s="16" t="s">
        <v>300</v>
      </c>
      <c r="B18" s="1" t="s">
        <v>301</v>
      </c>
      <c r="C18" s="1"/>
      <c r="D18" s="1"/>
      <c r="E18" s="1"/>
      <c r="F18" s="1"/>
    </row>
    <row r="19" spans="1:6" x14ac:dyDescent="0.25">
      <c r="A19" s="16" t="s">
        <v>13</v>
      </c>
      <c r="B19" s="1" t="s">
        <v>302</v>
      </c>
      <c r="C19" s="1"/>
      <c r="D19" s="1"/>
      <c r="E19" s="1"/>
      <c r="F19" s="1"/>
    </row>
    <row r="20" spans="1:6" x14ac:dyDescent="0.25">
      <c r="A20" s="16" t="s">
        <v>22</v>
      </c>
      <c r="B20" s="1" t="s">
        <v>303</v>
      </c>
      <c r="C20" s="1"/>
      <c r="D20" s="1"/>
      <c r="E20" s="1"/>
      <c r="F20" s="1"/>
    </row>
    <row r="21" spans="1:6" x14ac:dyDescent="0.25">
      <c r="A21" s="16" t="s">
        <v>23</v>
      </c>
      <c r="B21" s="1" t="s">
        <v>304</v>
      </c>
      <c r="C21" s="1"/>
      <c r="D21" s="1"/>
      <c r="E21" s="1"/>
      <c r="F21" s="1"/>
    </row>
  </sheetData>
  <mergeCells count="7">
    <mergeCell ref="B20:F20"/>
    <mergeCell ref="B21:F21"/>
    <mergeCell ref="B15:F15"/>
    <mergeCell ref="B16:F16"/>
    <mergeCell ref="B17:F17"/>
    <mergeCell ref="B18:F18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RBAC Results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Muslich Romadhon</cp:lastModifiedBy>
  <cp:revision>0</cp:revision>
  <dcterms:created xsi:type="dcterms:W3CDTF">2026-08-21T11:54:47Z</dcterms:created>
  <dcterms:modified xsi:type="dcterms:W3CDTF">2026-08-21T16:24:22Z</dcterms:modified>
  <dc:language>en-US</dc:language>
</cp:coreProperties>
</file>